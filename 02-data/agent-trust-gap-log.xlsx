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f69f3faa342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3bdabede2f4279"/>
    <x:sheet xmlns:r="http://schemas.openxmlformats.org/officeDocument/2006/relationships" name="Runs" sheetId="2" r:id="R23ea1865f52b4029"/>
    <x:sheet xmlns:r="http://schemas.openxmlformats.org/officeDocument/2006/relationships" name="Task Specs" sheetId="3" r:id="R912ddf8501914baf"/>
    <x:sheet xmlns:r="http://schemas.openxmlformats.org/officeDocument/2006/relationships" name="Reference" sheetId="4" r:id="R4e864a773a0841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%"/>
    <x:numFmt numFmtId="202" formatCode="yyyy-mm-dd"/>
    <x:numFmt numFmtId="203" formatCode="yyyy-mm-dd hh:mm:ss"/>
    <x:numFmt numFmtId="204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</x:fills>
  <x:borders count="10">
    <x:border/>
    <x:border>
      <x:right style="thin">
        <x:color rgb="FFC9D2DC"/>
      </x:right>
      <x:bottom style="thin">
        <x:color rgb="FFC9D2DC"/>
      </x:bottom>
    </x:border>
    <x:border>
      <x:left style="thin">
        <x:color rgb="FFC9D2DC"/>
      </x:left>
      <x:bottom style="thin">
        <x:color rgb="FFC9D2DC"/>
      </x:bottom>
    </x:border>
    <x:border>
      <x:right style="thin">
        <x:color rgb="FFC9D2DC"/>
      </x:right>
      <x:top style="thin">
        <x:color rgb="FFC9D2DC"/>
      </x:top>
      <x:bottom style="thin">
        <x:color rgb="FFC9D2DC"/>
      </x:bottom>
    </x:border>
    <x:border>
      <x:left style="thin">
        <x:color rgb="FFC9D2DC"/>
      </x:left>
      <x:top style="thin">
        <x:color rgb="FFC9D2DC"/>
      </x:top>
      <x:bottom style="thin">
        <x:color rgb="FFC9D2DC"/>
      </x:bottom>
    </x:border>
    <x:border>
      <x:right style="thin">
        <x:color rgb="FFC9D2DC"/>
      </x:right>
      <x:top style="thin">
        <x:color rgb="FFC9D2DC"/>
      </x:top>
    </x:border>
    <x:border>
      <x:left style="thin">
        <x:color rgb="FFC9D2DC"/>
      </x:left>
      <x:top style="thin">
        <x:color rgb="FFC9D2DC"/>
      </x:top>
    </x:border>
    <x:border>
      <x:left style="thin">
        <x:color rgb="FFC9D2DC"/>
      </x:left>
      <x:right style="thin">
        <x:color rgb="FFC9D2DC"/>
      </x:right>
      <x:bottom style="thin">
        <x:color rgb="FFC9D2DC"/>
      </x:bottom>
    </x:border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  <x:border>
      <x:left style="thin">
        <x:color rgb="FFC9D2DC"/>
      </x:left>
      <x:right style="thin">
        <x:color rgb="FFC9D2DC"/>
      </x:right>
      <x:top style="thin">
        <x:color rgb="FFC9D2DC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201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0" borderId="6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204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37ae68ea3d4c89" /><Relationship Type="http://schemas.openxmlformats.org/officeDocument/2006/relationships/theme" Target="/xl/theme/theme1.xml" Id="R58efb488e07d4024" /><Relationship Type="http://schemas.openxmlformats.org/officeDocument/2006/relationships/sharedStrings" Target="/xl/sharedStrings.xml" Id="Rcd81e3938f694ef6" /><Relationship Type="http://schemas.openxmlformats.org/officeDocument/2006/relationships/worksheet" Target="/xl/worksheets/sheet1.xml" Id="R483bdabede2f4279" /><Relationship Type="http://schemas.openxmlformats.org/officeDocument/2006/relationships/worksheet" Target="/xl/worksheets/sheet2.xml" Id="R23ea1865f52b4029" /><Relationship Type="http://schemas.openxmlformats.org/officeDocument/2006/relationships/worksheet" Target="/xl/worksheets/sheet3.xml" Id="R912ddf8501914baf" /><Relationship Type="http://schemas.openxmlformats.org/officeDocument/2006/relationships/worksheet" Target="/xl/worksheets/sheet4.xml" Id="R4e864a773a084198" /></Relationships>
</file>

<file path=xl/tables/table1.xml><?xml version="1.0" encoding="utf-8"?>
<x:table xmlns:x="http://schemas.openxmlformats.org/spreadsheetml/2006/main" id="1" name="AgentRunsTable" displayName="AgentRunsTable" ref="A1:AB51" headerRowCount="1" totalsRowCount="0" totalsRowShown="0">
  <x:tableColumns count="28">
    <x:tableColumn id="1" name="task_id"/>
    <x:tableColumn id="2" name="attempt"/>
    <x:tableColumn id="3" name="date"/>
    <x:tableColumn id="4" name="executor"/>
    <x:tableColumn id="5" name="agent_mode"/>
    <x:tableColumn id="6" name="task_category"/>
    <x:tableColumn id="7" name="task_title"/>
    <x:tableColumn id="8" name="task_description"/>
    <x:tableColumn id="9" name="complexity"/>
    <x:tableColumn id="10" name="acceptance_criteria"/>
    <x:tableColumn id="11" name="exact_instruction"/>
    <x:tableColumn id="12" name="start_time"/>
    <x:tableColumn id="13" name="claimed_complete_time"/>
    <x:tableColumn id="14" name="verified_complete_time"/>
    <x:tableColumn id="15" name="agent_claimed_success"/>
    <x:tableColumn id="16" name="agent_verifier_result"/>
    <x:tableColumn id="17" name="ground_truth_result"/>
    <x:tableColumn id="18" name="outcome"/>
    <x:tableColumn id="19" name="intervention_count"/>
    <x:tableColumn id="20" name="retry_count"/>
    <x:tableColumn id="21" name="recovery_attempted"/>
    <x:tableColumn id="22" name="recovery_successful"/>
    <x:tableColumn id="23" name="failure_mode"/>
    <x:tableColumn id="24" name="evidence_location"/>
    <x:tableColumn id="25" name="duration_minutes"/>
    <x:tableColumn id="26" name="privacy_review"/>
    <x:tableColumn id="27" name="publishable"/>
    <x:tableColumn id="2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skSpecsTable" displayName="TaskSpecsTable" ref="A1:J7" headerRowCount="1" totalsRowCount="0" totalsRowShown="0">
  <x:tableColumns count="10">
    <x:tableColumn id="1" name="task_id"/>
    <x:tableColumn id="2" name="status"/>
    <x:tableColumn id="3" name="category"/>
    <x:tableColumn id="4" name="title"/>
    <x:tableColumn id="5" name="executor"/>
    <x:tableColumn id="6" name="ground_truth"/>
    <x:tableColumn id="7" name="acceptance_summary"/>
    <x:tableColumn id="8" name="evidence_required"/>
    <x:tableColumn id="9" name="approval_gate"/>
    <x:tableColumn id="10" name="spec_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b22f33bc9f48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d64017c8a64b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3" hidden="0" customWidth="1"/>
    <x:col min="4" max="4" width="21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</x:cols>
  <x:sheetData>
    <x:row r="1" ht="32" customHeight="1">
      <x:c r="A1" s="3" t="str">
        <x:v>THE AGENT TRUST GAP — EXPERIMENT DASHBOARD</x:v>
      </x:c>
      <x:c r="B1" s="3"/>
      <x:c r="C1" s="3"/>
      <x:c r="D1" s="3"/>
      <x:c r="E1" s="3"/>
      <x:c r="F1" s="3"/>
      <x:c r="G1" s="3"/>
      <x:c r="H1" s="3"/>
      <x:c r="I1" s="28"/>
    </x:row>
    <x:row r="2">
      <x:c r="A2" s="29" t="str">
        <x:v>Numbers remain formula-driven; do not type presentation claims into this sheet.</x:v>
      </x:c>
      <x:c r="B2" s="29"/>
      <x:c r="C2" s="29"/>
      <x:c r="D2" s="29"/>
      <x:c r="E2" s="29"/>
      <x:c r="F2" s="29"/>
      <x:c r="G2" s="29"/>
      <x:c r="H2" s="29"/>
      <x:c r="I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</x:row>
    <x:row r="4">
      <x:c r="A4" s="30" t="str">
        <x:v>Metric</x:v>
      </x:c>
      <x:c r="B4" s="30" t="str">
        <x:v>Value</x:v>
      </x:c>
      <x:c r="C4" s="28"/>
      <x:c r="D4" s="30" t="str">
        <x:v>Category</x:v>
      </x:c>
      <x:c r="E4" s="30" t="str">
        <x:v>Total</x:v>
      </x:c>
      <x:c r="F4" s="30" t="str">
        <x:v>V</x:v>
      </x:c>
      <x:c r="G4" s="30" t="str">
        <x:v>A</x:v>
      </x:c>
      <x:c r="H4" s="30" t="str">
        <x:v>F</x:v>
      </x:c>
      <x:c r="I4" s="30" t="str">
        <x:v>FS</x:v>
      </x:c>
    </x:row>
    <x:row r="5">
      <x:c r="A5" s="31" t="str">
        <x:v>Total runs</x:v>
      </x:c>
      <x:c r="B5" s="32" t="n">
        <x:f>COUNTA('Runs'!$A$2:$A$51)</x:f>
        <x:v>0</x:v>
      </x:c>
      <x:c r="C5" s="28"/>
      <x:c r="D5" s="31" t="str">
        <x:v>Repo / Code</x:v>
      </x:c>
      <x:c r="E5" s="33" t="n">
        <x:f>COUNTIF('Runs'!$F$2:$F$51,D5)</x:f>
        <x:v>0</x:v>
      </x:c>
      <x:c r="F5" s="33" t="n">
        <x:f>COUNTIFS('Runs'!$F$2:$F$51,D5,'Runs'!$R$2:$R$51,"V — Verified Autonomous")</x:f>
        <x:v>0</x:v>
      </x:c>
      <x:c r="G5" s="33" t="n">
        <x:f>COUNTIFS('Runs'!$F$2:$F$51,D5,'Runs'!$R$2:$R$51,"A — Verified Assisted")</x:f>
        <x:v>0</x:v>
      </x:c>
      <x:c r="H5" s="33" t="n">
        <x:f>COUNTIFS('Runs'!$F$2:$F$51,D5,'Runs'!$R$2:$R$51,"F — Failed")</x:f>
        <x:v>0</x:v>
      </x:c>
      <x:c r="I5" s="32" t="n">
        <x:f>COUNTIFS('Runs'!$F$2:$F$51,D5,'Runs'!$R$2:$R$51,"FS — False Success")</x:f>
        <x:v>0</x:v>
      </x:c>
    </x:row>
    <x:row r="6">
      <x:c r="A6" s="34" t="str">
        <x:v>Verified autonomous</x:v>
      </x:c>
      <x:c r="B6" s="35" t="n">
        <x:f>COUNTIF('Runs'!$R$2:$R$51,"V — Verified Autonomous")</x:f>
        <x:v>0</x:v>
      </x:c>
      <x:c r="C6" s="28"/>
      <x:c r="D6" s="34" t="str">
        <x:v>Browser / UI</x:v>
      </x:c>
      <x:c r="E6" s="36" t="n">
        <x:f>COUNTIF('Runs'!$F$2:$F$51,D6)</x:f>
        <x:v>0</x:v>
      </x:c>
      <x:c r="F6" s="36" t="n">
        <x:f>COUNTIFS('Runs'!$F$2:$F$51,D6,'Runs'!$R$2:$R$51,"V — Verified Autonomous")</x:f>
        <x:v>0</x:v>
      </x:c>
      <x:c r="G6" s="36" t="n">
        <x:f>COUNTIFS('Runs'!$F$2:$F$51,D6,'Runs'!$R$2:$R$51,"A — Verified Assisted")</x:f>
        <x:v>0</x:v>
      </x:c>
      <x:c r="H6" s="36" t="n">
        <x:f>COUNTIFS('Runs'!$F$2:$F$51,D6,'Runs'!$R$2:$R$51,"F — Failed")</x:f>
        <x:v>0</x:v>
      </x:c>
      <x:c r="I6" s="35" t="n">
        <x:f>COUNTIFS('Runs'!$F$2:$F$51,D6,'Runs'!$R$2:$R$51,"FS — False Success")</x:f>
        <x:v>0</x:v>
      </x:c>
    </x:row>
    <x:row r="7">
      <x:c r="A7" s="34" t="str">
        <x:v>Verified assisted</x:v>
      </x:c>
      <x:c r="B7" s="35" t="n">
        <x:f>COUNTIF('Runs'!$R$2:$R$51,"A — Verified Assisted")</x:f>
        <x:v>0</x:v>
      </x:c>
      <x:c r="C7" s="28"/>
      <x:c r="D7" s="34" t="str">
        <x:v>Handoff</x:v>
      </x:c>
      <x:c r="E7" s="36" t="n">
        <x:f>COUNTIF('Runs'!$F$2:$F$51,D7)</x:f>
        <x:v>0</x:v>
      </x:c>
      <x:c r="F7" s="36" t="n">
        <x:f>COUNTIFS('Runs'!$F$2:$F$51,D7,'Runs'!$R$2:$R$51,"V — Verified Autonomous")</x:f>
        <x:v>0</x:v>
      </x:c>
      <x:c r="G7" s="36" t="n">
        <x:f>COUNTIFS('Runs'!$F$2:$F$51,D7,'Runs'!$R$2:$R$51,"A — Verified Assisted")</x:f>
        <x:v>0</x:v>
      </x:c>
      <x:c r="H7" s="36" t="n">
        <x:f>COUNTIFS('Runs'!$F$2:$F$51,D7,'Runs'!$R$2:$R$51,"F — Failed")</x:f>
        <x:v>0</x:v>
      </x:c>
      <x:c r="I7" s="35" t="n">
        <x:f>COUNTIFS('Runs'!$F$2:$F$51,D7,'Runs'!$R$2:$R$51,"FS — False Success")</x:f>
        <x:v>0</x:v>
      </x:c>
    </x:row>
    <x:row r="8">
      <x:c r="A8" s="34" t="str">
        <x:v>Failed</x:v>
      </x:c>
      <x:c r="B8" s="35" t="n">
        <x:f>COUNTIF('Runs'!$R$2:$R$51,"F — Failed")</x:f>
        <x:v>0</x:v>
      </x:c>
      <x:c r="C8" s="28"/>
      <x:c r="D8" s="34" t="str">
        <x:v>Routine</x:v>
      </x:c>
      <x:c r="E8" s="36" t="n">
        <x:f>COUNTIF('Runs'!$F$2:$F$51,D8)</x:f>
        <x:v>0</x:v>
      </x:c>
      <x:c r="F8" s="36" t="n">
        <x:f>COUNTIFS('Runs'!$F$2:$F$51,D8,'Runs'!$R$2:$R$51,"V — Verified Autonomous")</x:f>
        <x:v>0</x:v>
      </x:c>
      <x:c r="G8" s="36" t="n">
        <x:f>COUNTIFS('Runs'!$F$2:$F$51,D8,'Runs'!$R$2:$R$51,"A — Verified Assisted")</x:f>
        <x:v>0</x:v>
      </x:c>
      <x:c r="H8" s="36" t="n">
        <x:f>COUNTIFS('Runs'!$F$2:$F$51,D8,'Runs'!$R$2:$R$51,"F — Failed")</x:f>
        <x:v>0</x:v>
      </x:c>
      <x:c r="I8" s="35" t="n">
        <x:f>COUNTIFS('Runs'!$F$2:$F$51,D8,'Runs'!$R$2:$R$51,"FS — False Success")</x:f>
        <x:v>0</x:v>
      </x:c>
    </x:row>
    <x:row r="9">
      <x:c r="A9" s="34" t="str">
        <x:v>False success</x:v>
      </x:c>
      <x:c r="B9" s="35" t="n">
        <x:f>COUNTIF('Runs'!$R$2:$R$51,"FS — False Success")</x:f>
        <x:v>0</x:v>
      </x:c>
      <x:c r="C9" s="28"/>
      <x:c r="D9" s="34" t="str">
        <x:v>Cross-Tool</x:v>
      </x:c>
      <x:c r="E9" s="36" t="n">
        <x:f>COUNTIF('Runs'!$F$2:$F$51,D9)</x:f>
        <x:v>0</x:v>
      </x:c>
      <x:c r="F9" s="36" t="n">
        <x:f>COUNTIFS('Runs'!$F$2:$F$51,D9,'Runs'!$R$2:$R$51,"V — Verified Autonomous")</x:f>
        <x:v>0</x:v>
      </x:c>
      <x:c r="G9" s="36" t="n">
        <x:f>COUNTIFS('Runs'!$F$2:$F$51,D9,'Runs'!$R$2:$R$51,"A — Verified Assisted")</x:f>
        <x:v>0</x:v>
      </x:c>
      <x:c r="H9" s="36" t="n">
        <x:f>COUNTIFS('Runs'!$F$2:$F$51,D9,'Runs'!$R$2:$R$51,"F — Failed")</x:f>
        <x:v>0</x:v>
      </x:c>
      <x:c r="I9" s="35" t="n">
        <x:f>COUNTIFS('Runs'!$F$2:$F$51,D9,'Runs'!$R$2:$R$51,"FS — False Success")</x:f>
        <x:v>0</x:v>
      </x:c>
    </x:row>
    <x:row r="10">
      <x:c r="A10" s="34" t="str">
        <x:v>Claimed completions</x:v>
      </x:c>
      <x:c r="B10" s="35" t="n">
        <x:f>COUNTIF('Runs'!$O$2:$O$51,"Yes")</x:f>
        <x:v>0</x:v>
      </x:c>
      <x:c r="C10" s="28"/>
      <x:c r="D10" s="34" t="str">
        <x:v>Approval / Risk</x:v>
      </x:c>
      <x:c r="E10" s="36" t="n">
        <x:f>COUNTIF('Runs'!$F$2:$F$51,D10)</x:f>
        <x:v>0</x:v>
      </x:c>
      <x:c r="F10" s="36" t="n">
        <x:f>COUNTIFS('Runs'!$F$2:$F$51,D10,'Runs'!$R$2:$R$51,"V — Verified Autonomous")</x:f>
        <x:v>0</x:v>
      </x:c>
      <x:c r="G10" s="36" t="n">
        <x:f>COUNTIFS('Runs'!$F$2:$F$51,D10,'Runs'!$R$2:$R$51,"A — Verified Assisted")</x:f>
        <x:v>0</x:v>
      </x:c>
      <x:c r="H10" s="36" t="n">
        <x:f>COUNTIFS('Runs'!$F$2:$F$51,D10,'Runs'!$R$2:$R$51,"F — Failed")</x:f>
        <x:v>0</x:v>
      </x:c>
      <x:c r="I10" s="35" t="n">
        <x:f>COUNTIFS('Runs'!$F$2:$F$51,D10,'Runs'!$R$2:$R$51,"FS — False Success")</x:f>
        <x:v>0</x:v>
      </x:c>
    </x:row>
    <x:row r="11">
      <x:c r="A11" s="34" t="str">
        <x:v>Verified completion rate</x:v>
      </x:c>
      <x:c r="B11" s="37" t="n">
        <x:f>IF(B5=0,0,(B6+B7)/B5)</x:f>
        <x:v>0</x:v>
      </x:c>
      <x:c r="C11" s="28"/>
      <x:c r="D11" s="38" t="str">
        <x:v>Other</x:v>
      </x:c>
      <x:c r="E11" s="39" t="n">
        <x:f>COUNTIF('Runs'!$F$2:$F$51,D11)</x:f>
        <x:v>0</x:v>
      </x:c>
      <x:c r="F11" s="39" t="n">
        <x:f>COUNTIFS('Runs'!$F$2:$F$51,D11,'Runs'!$R$2:$R$51,"V — Verified Autonomous")</x:f>
        <x:v>0</x:v>
      </x:c>
      <x:c r="G11" s="39" t="n">
        <x:f>COUNTIFS('Runs'!$F$2:$F$51,D11,'Runs'!$R$2:$R$51,"A — Verified Assisted")</x:f>
        <x:v>0</x:v>
      </x:c>
      <x:c r="H11" s="39" t="n">
        <x:f>COUNTIFS('Runs'!$F$2:$F$51,D11,'Runs'!$R$2:$R$51,"F — Failed")</x:f>
        <x:v>0</x:v>
      </x:c>
      <x:c r="I11" s="40" t="n">
        <x:f>COUNTIFS('Runs'!$F$2:$F$51,D11,'Runs'!$R$2:$R$51,"FS — False Success")</x:f>
        <x:v>0</x:v>
      </x:c>
    </x:row>
    <x:row r="12">
      <x:c r="A12" s="38" t="str">
        <x:v>False-success rate</x:v>
      </x:c>
      <x:c r="B12" s="41" t="n">
        <x:f>IF(B10=0,0,B9/B10)</x:f>
        <x:v>0</x:v>
      </x:c>
      <x:c r="C12" s="28"/>
      <x:c r="D12" s="28"/>
      <x:c r="E12" s="28"/>
      <x:c r="F12" s="28"/>
      <x:c r="G12" s="28"/>
      <x:c r="H12" s="28"/>
      <x:c r="I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</x:row>
    <x:row r="15">
      <x:c r="A15" s="42" t="str">
        <x:v>METHOD GUARDRAILS</x:v>
      </x:c>
      <x:c r="B15" s="42"/>
      <x:c r="C15" s="42"/>
      <x:c r="D15" s="42"/>
      <x:c r="E15" s="42"/>
      <x:c r="F15" s="42"/>
      <x:c r="G15" s="42"/>
      <x:c r="H15" s="42"/>
      <x:c r="I15" s="28"/>
    </x:row>
    <x:row r="16">
      <x:c r="A16" s="43" t="str">
        <x:v>Freeze acceptance criteria before execution.</x:v>
      </x:c>
      <x:c r="B16" s="43"/>
      <x:c r="C16" s="43"/>
      <x:c r="D16" s="43"/>
      <x:c r="E16" s="43"/>
      <x:c r="F16" s="43"/>
      <x:c r="G16" s="43"/>
      <x:c r="H16" s="43"/>
      <x:c r="I16" s="28"/>
    </x:row>
    <x:row r="17">
      <x:c r="A17" s="43" t="str">
        <x:v>Agent self-report is never ground truth.</x:v>
      </x:c>
      <x:c r="B17" s="43"/>
      <x:c r="C17" s="43"/>
      <x:c r="D17" s="43"/>
      <x:c r="E17" s="43"/>
      <x:c r="F17" s="43"/>
      <x:c r="G17" s="43"/>
      <x:c r="H17" s="43"/>
      <x:c r="I17" s="28"/>
    </x:row>
    <x:row r="18">
      <x:c r="A18" s="43" t="str">
        <x:v>Human inspection and objective evidence determine outcomes.</x:v>
      </x:c>
      <x:c r="B18" s="43"/>
      <x:c r="C18" s="43"/>
      <x:c r="D18" s="43"/>
      <x:c r="E18" s="43"/>
      <x:c r="F18" s="43"/>
      <x:c r="G18" s="43"/>
      <x:c r="H18" s="43"/>
      <x:c r="I18" s="28"/>
    </x:row>
    <x:row r="19">
      <x:c r="A19" s="43" t="str">
        <x:v>Preserve failures, retries, interventions, and exact claims.</x:v>
      </x:c>
      <x:c r="B19" s="43"/>
      <x:c r="C19" s="43"/>
      <x:c r="D19" s="43"/>
      <x:c r="E19" s="43"/>
      <x:c r="F19" s="43"/>
      <x:c r="G19" s="43"/>
      <x:c r="H19" s="43"/>
      <x:c r="I19" s="28"/>
    </x:row>
    <x:row r="20">
      <x:c r="A20" s="43" t="str">
        <x:v>Publish observations from this benchmark—not universal product statistics.</x:v>
      </x:c>
      <x:c r="B20" s="43"/>
      <x:c r="C20" s="43"/>
      <x:c r="D20" s="43"/>
      <x:c r="E20" s="43"/>
      <x:c r="F20" s="43"/>
      <x:c r="G20" s="43"/>
      <x:c r="H20" s="43"/>
      <x:c r="I20" s="28"/>
    </x:row>
  </x:sheetData>
  <x:mergeCells>
    <x:mergeCell ref="A1:H1"/>
    <x:mergeCell ref="A2:H2"/>
    <x:mergeCell ref="A15:H15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7" hidden="0" customWidth="1"/>
    <x:col min="5" max="5" width="17" hidden="0" customWidth="1"/>
    <x:col min="6" max="6" width="17" hidden="0" customWidth="1"/>
    <x:col min="7" max="7" width="28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21" hidden="0" customWidth="1"/>
    <x:col min="13" max="13" width="21" hidden="0" customWidth="1"/>
    <x:col min="14" max="14" width="21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34" hidden="0" customWidth="1"/>
    <x:col min="25" max="25" width="18" hidden="0" customWidth="1"/>
    <x:col min="26" max="26" width="18" hidden="0" customWidth="1"/>
    <x:col min="27" max="27" width="18" hidden="0" customWidth="1"/>
    <x:col min="28" max="28" width="42" hidden="0" customWidth="1"/>
  </x:cols>
  <x:sheetData>
    <x:row r="1" ht="36" customHeight="1">
      <x:c r="A1" s="44" t="str">
        <x:v>task_id</x:v>
      </x:c>
      <x:c r="B1" s="44" t="str">
        <x:v>attempt</x:v>
      </x:c>
      <x:c r="C1" s="44" t="str">
        <x:v>date</x:v>
      </x:c>
      <x:c r="D1" s="44" t="str">
        <x:v>executor</x:v>
      </x:c>
      <x:c r="E1" s="44" t="str">
        <x:v>agent_mode</x:v>
      </x:c>
      <x:c r="F1" s="44" t="str">
        <x:v>task_category</x:v>
      </x:c>
      <x:c r="G1" s="44" t="str">
        <x:v>task_title</x:v>
      </x:c>
      <x:c r="H1" s="44" t="str">
        <x:v>task_description</x:v>
      </x:c>
      <x:c r="I1" s="44" t="str">
        <x:v>complexity</x:v>
      </x:c>
      <x:c r="J1" s="44" t="str">
        <x:v>acceptance_criteria</x:v>
      </x:c>
      <x:c r="K1" s="44" t="str">
        <x:v>exact_instruction</x:v>
      </x:c>
      <x:c r="L1" s="44" t="str">
        <x:v>start_time</x:v>
      </x:c>
      <x:c r="M1" s="44" t="str">
        <x:v>claimed_complete_time</x:v>
      </x:c>
      <x:c r="N1" s="44" t="str">
        <x:v>verified_complete_time</x:v>
      </x:c>
      <x:c r="O1" s="44" t="str">
        <x:v>agent_claimed_success</x:v>
      </x:c>
      <x:c r="P1" s="44" t="str">
        <x:v>agent_verifier_result</x:v>
      </x:c>
      <x:c r="Q1" s="44" t="str">
        <x:v>ground_truth_result</x:v>
      </x:c>
      <x:c r="R1" s="44" t="str">
        <x:v>outcome</x:v>
      </x:c>
      <x:c r="S1" s="44" t="str">
        <x:v>intervention_count</x:v>
      </x:c>
      <x:c r="T1" s="44" t="str">
        <x:v>retry_count</x:v>
      </x:c>
      <x:c r="U1" s="44" t="str">
        <x:v>recovery_attempted</x:v>
      </x:c>
      <x:c r="V1" s="44" t="str">
        <x:v>recovery_successful</x:v>
      </x:c>
      <x:c r="W1" s="44" t="str">
        <x:v>failure_mode</x:v>
      </x:c>
      <x:c r="X1" s="44" t="str">
        <x:v>evidence_location</x:v>
      </x:c>
      <x:c r="Y1" s="44" t="str">
        <x:v>duration_minutes</x:v>
      </x:c>
      <x:c r="Z1" s="44" t="str">
        <x:v>privacy_review</x:v>
      </x:c>
      <x:c r="AA1" s="44" t="str">
        <x:v>publishable</x:v>
      </x:c>
      <x:c r="AB1" s="44" t="str">
        <x:v>notes</x:v>
      </x:c>
    </x:row>
    <x:row r="2">
      <x:c r="A2" s="48"/>
      <x:c r="B2" s="48"/>
      <x:c r="C2" s="49"/>
      <x:c r="D2" s="48"/>
      <x:c r="E2" s="48"/>
      <x:c r="F2" s="48"/>
      <x:c r="G2" s="52"/>
      <x:c r="H2" s="52"/>
      <x:c r="I2" s="52"/>
      <x:c r="J2" s="52"/>
      <x:c r="K2" s="52"/>
      <x:c r="L2" s="50"/>
      <x:c r="M2" s="50"/>
      <x:c r="N2" s="50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51" t="str">
        <x:f>IF(OR(L2="",N2=""),"",(N2-L2)*1440)</x:f>
      </x:c>
      <x:c r="Z2" s="48"/>
      <x:c r="AA2" s="48"/>
      <x:c r="AB2" s="52"/>
    </x:row>
    <x:row r="3">
      <x:c r="A3" s="48"/>
      <x:c r="B3" s="48"/>
      <x:c r="C3" s="49"/>
      <x:c r="D3" s="48"/>
      <x:c r="E3" s="48"/>
      <x:c r="F3" s="48"/>
      <x:c r="G3" s="52"/>
      <x:c r="H3" s="52"/>
      <x:c r="I3" s="52"/>
      <x:c r="J3" s="52"/>
      <x:c r="K3" s="52"/>
      <x:c r="L3" s="50"/>
      <x:c r="M3" s="50"/>
      <x:c r="N3" s="50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51" t="str">
        <x:f>IF(OR(L3="",N3=""),"",(N3-L3)*1440)</x:f>
      </x:c>
      <x:c r="Z3" s="48"/>
      <x:c r="AA3" s="48"/>
      <x:c r="AB3" s="52"/>
    </x:row>
    <x:row r="4">
      <x:c r="A4" s="48"/>
      <x:c r="B4" s="48"/>
      <x:c r="C4" s="49"/>
      <x:c r="D4" s="48"/>
      <x:c r="E4" s="48"/>
      <x:c r="F4" s="48"/>
      <x:c r="G4" s="52"/>
      <x:c r="H4" s="52"/>
      <x:c r="I4" s="52"/>
      <x:c r="J4" s="52"/>
      <x:c r="K4" s="52"/>
      <x:c r="L4" s="50"/>
      <x:c r="M4" s="50"/>
      <x:c r="N4" s="50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51" t="str">
        <x:f>IF(OR(L4="",N4=""),"",(N4-L4)*1440)</x:f>
      </x:c>
      <x:c r="Z4" s="48"/>
      <x:c r="AA4" s="48"/>
      <x:c r="AB4" s="52"/>
    </x:row>
    <x:row r="5">
      <x:c r="A5" s="48"/>
      <x:c r="B5" s="48"/>
      <x:c r="C5" s="49"/>
      <x:c r="D5" s="48"/>
      <x:c r="E5" s="48"/>
      <x:c r="F5" s="48"/>
      <x:c r="G5" s="52"/>
      <x:c r="H5" s="52"/>
      <x:c r="I5" s="52"/>
      <x:c r="J5" s="52"/>
      <x:c r="K5" s="52"/>
      <x:c r="L5" s="50"/>
      <x:c r="M5" s="50"/>
      <x:c r="N5" s="50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51" t="str">
        <x:f>IF(OR(L5="",N5=""),"",(N5-L5)*1440)</x:f>
      </x:c>
      <x:c r="Z5" s="48"/>
      <x:c r="AA5" s="48"/>
      <x:c r="AB5" s="52"/>
    </x:row>
    <x:row r="6">
      <x:c r="A6" s="48"/>
      <x:c r="B6" s="48"/>
      <x:c r="C6" s="49"/>
      <x:c r="D6" s="48"/>
      <x:c r="E6" s="48"/>
      <x:c r="F6" s="48"/>
      <x:c r="G6" s="52"/>
      <x:c r="H6" s="52"/>
      <x:c r="I6" s="52"/>
      <x:c r="J6" s="52"/>
      <x:c r="K6" s="52"/>
      <x:c r="L6" s="50"/>
      <x:c r="M6" s="50"/>
      <x:c r="N6" s="50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51" t="str">
        <x:f>IF(OR(L6="",N6=""),"",(N6-L6)*1440)</x:f>
      </x:c>
      <x:c r="Z6" s="48"/>
      <x:c r="AA6" s="48"/>
      <x:c r="AB6" s="52"/>
    </x:row>
    <x:row r="7">
      <x:c r="A7" s="48"/>
      <x:c r="B7" s="48"/>
      <x:c r="C7" s="49"/>
      <x:c r="D7" s="48"/>
      <x:c r="E7" s="48"/>
      <x:c r="F7" s="48"/>
      <x:c r="G7" s="52"/>
      <x:c r="H7" s="52"/>
      <x:c r="I7" s="52"/>
      <x:c r="J7" s="52"/>
      <x:c r="K7" s="52"/>
      <x:c r="L7" s="50"/>
      <x:c r="M7" s="50"/>
      <x:c r="N7" s="50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51" t="str">
        <x:f>IF(OR(L7="",N7=""),"",(N7-L7)*1440)</x:f>
      </x:c>
      <x:c r="Z7" s="48"/>
      <x:c r="AA7" s="48"/>
      <x:c r="AB7" s="52"/>
    </x:row>
    <x:row r="8">
      <x:c r="A8" s="48"/>
      <x:c r="B8" s="48"/>
      <x:c r="C8" s="49"/>
      <x:c r="D8" s="48"/>
      <x:c r="E8" s="48"/>
      <x:c r="F8" s="48"/>
      <x:c r="G8" s="52"/>
      <x:c r="H8" s="52"/>
      <x:c r="I8" s="52"/>
      <x:c r="J8" s="52"/>
      <x:c r="K8" s="52"/>
      <x:c r="L8" s="50"/>
      <x:c r="M8" s="50"/>
      <x:c r="N8" s="50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51" t="str">
        <x:f>IF(OR(L8="",N8=""),"",(N8-L8)*1440)</x:f>
      </x:c>
      <x:c r="Z8" s="48"/>
      <x:c r="AA8" s="48"/>
      <x:c r="AB8" s="52"/>
    </x:row>
    <x:row r="9">
      <x:c r="A9" s="48"/>
      <x:c r="B9" s="48"/>
      <x:c r="C9" s="49"/>
      <x:c r="D9" s="48"/>
      <x:c r="E9" s="48"/>
      <x:c r="F9" s="48"/>
      <x:c r="G9" s="52"/>
      <x:c r="H9" s="52"/>
      <x:c r="I9" s="52"/>
      <x:c r="J9" s="52"/>
      <x:c r="K9" s="52"/>
      <x:c r="L9" s="50"/>
      <x:c r="M9" s="50"/>
      <x:c r="N9" s="50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51" t="str">
        <x:f>IF(OR(L9="",N9=""),"",(N9-L9)*1440)</x:f>
      </x:c>
      <x:c r="Z9" s="48"/>
      <x:c r="AA9" s="48"/>
      <x:c r="AB9" s="52"/>
    </x:row>
    <x:row r="10">
      <x:c r="A10" s="48"/>
      <x:c r="B10" s="48"/>
      <x:c r="C10" s="49"/>
      <x:c r="D10" s="48"/>
      <x:c r="E10" s="48"/>
      <x:c r="F10" s="48"/>
      <x:c r="G10" s="52"/>
      <x:c r="H10" s="52"/>
      <x:c r="I10" s="52"/>
      <x:c r="J10" s="52"/>
      <x:c r="K10" s="52"/>
      <x:c r="L10" s="50"/>
      <x:c r="M10" s="50"/>
      <x:c r="N10" s="50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51" t="str">
        <x:f>IF(OR(L10="",N10=""),"",(N10-L10)*1440)</x:f>
      </x:c>
      <x:c r="Z10" s="48"/>
      <x:c r="AA10" s="48"/>
      <x:c r="AB10" s="52"/>
    </x:row>
    <x:row r="11">
      <x:c r="A11" s="48"/>
      <x:c r="B11" s="48"/>
      <x:c r="C11" s="49"/>
      <x:c r="D11" s="48"/>
      <x:c r="E11" s="48"/>
      <x:c r="F11" s="48"/>
      <x:c r="G11" s="52"/>
      <x:c r="H11" s="52"/>
      <x:c r="I11" s="52"/>
      <x:c r="J11" s="52"/>
      <x:c r="K11" s="52"/>
      <x:c r="L11" s="50"/>
      <x:c r="M11" s="50"/>
      <x:c r="N11" s="50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51" t="str">
        <x:f>IF(OR(L11="",N11=""),"",(N11-L11)*1440)</x:f>
      </x:c>
      <x:c r="Z11" s="48"/>
      <x:c r="AA11" s="48"/>
      <x:c r="AB11" s="52"/>
    </x:row>
    <x:row r="12">
      <x:c r="A12" s="48"/>
      <x:c r="B12" s="48"/>
      <x:c r="C12" s="49"/>
      <x:c r="D12" s="48"/>
      <x:c r="E12" s="48"/>
      <x:c r="F12" s="48"/>
      <x:c r="G12" s="52"/>
      <x:c r="H12" s="52"/>
      <x:c r="I12" s="52"/>
      <x:c r="J12" s="52"/>
      <x:c r="K12" s="52"/>
      <x:c r="L12" s="50"/>
      <x:c r="M12" s="50"/>
      <x:c r="N12" s="50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51" t="str">
        <x:f>IF(OR(L12="",N12=""),"",(N12-L12)*1440)</x:f>
      </x:c>
      <x:c r="Z12" s="48"/>
      <x:c r="AA12" s="48"/>
      <x:c r="AB12" s="52"/>
    </x:row>
    <x:row r="13">
      <x:c r="A13" s="48"/>
      <x:c r="B13" s="48"/>
      <x:c r="C13" s="49"/>
      <x:c r="D13" s="48"/>
      <x:c r="E13" s="48"/>
      <x:c r="F13" s="48"/>
      <x:c r="G13" s="52"/>
      <x:c r="H13" s="52"/>
      <x:c r="I13" s="52"/>
      <x:c r="J13" s="52"/>
      <x:c r="K13" s="52"/>
      <x:c r="L13" s="50"/>
      <x:c r="M13" s="50"/>
      <x:c r="N13" s="50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51" t="str">
        <x:f>IF(OR(L13="",N13=""),"",(N13-L13)*1440)</x:f>
      </x:c>
      <x:c r="Z13" s="48"/>
      <x:c r="AA13" s="48"/>
      <x:c r="AB13" s="52"/>
    </x:row>
    <x:row r="14">
      <x:c r="A14" s="48"/>
      <x:c r="B14" s="48"/>
      <x:c r="C14" s="49"/>
      <x:c r="D14" s="48"/>
      <x:c r="E14" s="48"/>
      <x:c r="F14" s="48"/>
      <x:c r="G14" s="52"/>
      <x:c r="H14" s="52"/>
      <x:c r="I14" s="52"/>
      <x:c r="J14" s="52"/>
      <x:c r="K14" s="52"/>
      <x:c r="L14" s="50"/>
      <x:c r="M14" s="50"/>
      <x:c r="N14" s="50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51" t="str">
        <x:f>IF(OR(L14="",N14=""),"",(N14-L14)*1440)</x:f>
      </x:c>
      <x:c r="Z14" s="48"/>
      <x:c r="AA14" s="48"/>
      <x:c r="AB14" s="52"/>
    </x:row>
    <x:row r="15">
      <x:c r="A15" s="48"/>
      <x:c r="B15" s="48"/>
      <x:c r="C15" s="49"/>
      <x:c r="D15" s="48"/>
      <x:c r="E15" s="48"/>
      <x:c r="F15" s="48"/>
      <x:c r="G15" s="52"/>
      <x:c r="H15" s="52"/>
      <x:c r="I15" s="52"/>
      <x:c r="J15" s="52"/>
      <x:c r="K15" s="52"/>
      <x:c r="L15" s="50"/>
      <x:c r="M15" s="50"/>
      <x:c r="N15" s="50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51" t="str">
        <x:f>IF(OR(L15="",N15=""),"",(N15-L15)*1440)</x:f>
      </x:c>
      <x:c r="Z15" s="48"/>
      <x:c r="AA15" s="48"/>
      <x:c r="AB15" s="52"/>
    </x:row>
    <x:row r="16">
      <x:c r="A16" s="48"/>
      <x:c r="B16" s="48"/>
      <x:c r="C16" s="49"/>
      <x:c r="D16" s="48"/>
      <x:c r="E16" s="48"/>
      <x:c r="F16" s="48"/>
      <x:c r="G16" s="52"/>
      <x:c r="H16" s="52"/>
      <x:c r="I16" s="52"/>
      <x:c r="J16" s="52"/>
      <x:c r="K16" s="52"/>
      <x:c r="L16" s="50"/>
      <x:c r="M16" s="50"/>
      <x:c r="N16" s="50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51" t="str">
        <x:f>IF(OR(L16="",N16=""),"",(N16-L16)*1440)</x:f>
      </x:c>
      <x:c r="Z16" s="48"/>
      <x:c r="AA16" s="48"/>
      <x:c r="AB16" s="52"/>
    </x:row>
    <x:row r="17">
      <x:c r="A17" s="48"/>
      <x:c r="B17" s="48"/>
      <x:c r="C17" s="49"/>
      <x:c r="D17" s="48"/>
      <x:c r="E17" s="48"/>
      <x:c r="F17" s="48"/>
      <x:c r="G17" s="52"/>
      <x:c r="H17" s="52"/>
      <x:c r="I17" s="52"/>
      <x:c r="J17" s="52"/>
      <x:c r="K17" s="52"/>
      <x:c r="L17" s="50"/>
      <x:c r="M17" s="50"/>
      <x:c r="N17" s="50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51" t="str">
        <x:f>IF(OR(L17="",N17=""),"",(N17-L17)*1440)</x:f>
      </x:c>
      <x:c r="Z17" s="48"/>
      <x:c r="AA17" s="48"/>
      <x:c r="AB17" s="52"/>
    </x:row>
    <x:row r="18">
      <x:c r="A18" s="48"/>
      <x:c r="B18" s="48"/>
      <x:c r="C18" s="49"/>
      <x:c r="D18" s="48"/>
      <x:c r="E18" s="48"/>
      <x:c r="F18" s="48"/>
      <x:c r="G18" s="52"/>
      <x:c r="H18" s="52"/>
      <x:c r="I18" s="52"/>
      <x:c r="J18" s="52"/>
      <x:c r="K18" s="52"/>
      <x:c r="L18" s="50"/>
      <x:c r="M18" s="50"/>
      <x:c r="N18" s="50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51" t="str">
        <x:f>IF(OR(L18="",N18=""),"",(N18-L18)*1440)</x:f>
      </x:c>
      <x:c r="Z18" s="48"/>
      <x:c r="AA18" s="48"/>
      <x:c r="AB18" s="52"/>
    </x:row>
    <x:row r="19">
      <x:c r="A19" s="48"/>
      <x:c r="B19" s="48"/>
      <x:c r="C19" s="49"/>
      <x:c r="D19" s="48"/>
      <x:c r="E19" s="48"/>
      <x:c r="F19" s="48"/>
      <x:c r="G19" s="52"/>
      <x:c r="H19" s="52"/>
      <x:c r="I19" s="52"/>
      <x:c r="J19" s="52"/>
      <x:c r="K19" s="52"/>
      <x:c r="L19" s="50"/>
      <x:c r="M19" s="50"/>
      <x:c r="N19" s="50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51" t="str">
        <x:f>IF(OR(L19="",N19=""),"",(N19-L19)*1440)</x:f>
      </x:c>
      <x:c r="Z19" s="48"/>
      <x:c r="AA19" s="48"/>
      <x:c r="AB19" s="52"/>
    </x:row>
    <x:row r="20">
      <x:c r="A20" s="48"/>
      <x:c r="B20" s="48"/>
      <x:c r="C20" s="49"/>
      <x:c r="D20" s="48"/>
      <x:c r="E20" s="48"/>
      <x:c r="F20" s="48"/>
      <x:c r="G20" s="52"/>
      <x:c r="H20" s="52"/>
      <x:c r="I20" s="52"/>
      <x:c r="J20" s="52"/>
      <x:c r="K20" s="52"/>
      <x:c r="L20" s="50"/>
      <x:c r="M20" s="50"/>
      <x:c r="N20" s="50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51" t="str">
        <x:f>IF(OR(L20="",N20=""),"",(N20-L20)*1440)</x:f>
      </x:c>
      <x:c r="Z20" s="48"/>
      <x:c r="AA20" s="48"/>
      <x:c r="AB20" s="52"/>
    </x:row>
    <x:row r="21">
      <x:c r="A21" s="48"/>
      <x:c r="B21" s="48"/>
      <x:c r="C21" s="49"/>
      <x:c r="D21" s="48"/>
      <x:c r="E21" s="48"/>
      <x:c r="F21" s="48"/>
      <x:c r="G21" s="52"/>
      <x:c r="H21" s="52"/>
      <x:c r="I21" s="52"/>
      <x:c r="J21" s="52"/>
      <x:c r="K21" s="52"/>
      <x:c r="L21" s="50"/>
      <x:c r="M21" s="50"/>
      <x:c r="N21" s="50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51" t="str">
        <x:f>IF(OR(L21="",N21=""),"",(N21-L21)*1440)</x:f>
      </x:c>
      <x:c r="Z21" s="48"/>
      <x:c r="AA21" s="48"/>
      <x:c r="AB21" s="52"/>
    </x:row>
    <x:row r="22">
      <x:c r="A22" s="48"/>
      <x:c r="B22" s="48"/>
      <x:c r="C22" s="49"/>
      <x:c r="D22" s="48"/>
      <x:c r="E22" s="48"/>
      <x:c r="F22" s="48"/>
      <x:c r="G22" s="52"/>
      <x:c r="H22" s="52"/>
      <x:c r="I22" s="52"/>
      <x:c r="J22" s="52"/>
      <x:c r="K22" s="52"/>
      <x:c r="L22" s="50"/>
      <x:c r="M22" s="50"/>
      <x:c r="N22" s="50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51" t="str">
        <x:f>IF(OR(L22="",N22=""),"",(N22-L22)*1440)</x:f>
      </x:c>
      <x:c r="Z22" s="48"/>
      <x:c r="AA22" s="48"/>
      <x:c r="AB22" s="52"/>
    </x:row>
    <x:row r="23">
      <x:c r="A23" s="48"/>
      <x:c r="B23" s="48"/>
      <x:c r="C23" s="49"/>
      <x:c r="D23" s="48"/>
      <x:c r="E23" s="48"/>
      <x:c r="F23" s="48"/>
      <x:c r="G23" s="52"/>
      <x:c r="H23" s="52"/>
      <x:c r="I23" s="52"/>
      <x:c r="J23" s="52"/>
      <x:c r="K23" s="52"/>
      <x:c r="L23" s="50"/>
      <x:c r="M23" s="50"/>
      <x:c r="N23" s="50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51" t="str">
        <x:f>IF(OR(L23="",N23=""),"",(N23-L23)*1440)</x:f>
      </x:c>
      <x:c r="Z23" s="48"/>
      <x:c r="AA23" s="48"/>
      <x:c r="AB23" s="52"/>
    </x:row>
    <x:row r="24">
      <x:c r="A24" s="48"/>
      <x:c r="B24" s="48"/>
      <x:c r="C24" s="49"/>
      <x:c r="D24" s="48"/>
      <x:c r="E24" s="48"/>
      <x:c r="F24" s="48"/>
      <x:c r="G24" s="52"/>
      <x:c r="H24" s="52"/>
      <x:c r="I24" s="52"/>
      <x:c r="J24" s="52"/>
      <x:c r="K24" s="52"/>
      <x:c r="L24" s="50"/>
      <x:c r="M24" s="50"/>
      <x:c r="N24" s="50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51" t="str">
        <x:f>IF(OR(L24="",N24=""),"",(N24-L24)*1440)</x:f>
      </x:c>
      <x:c r="Z24" s="48"/>
      <x:c r="AA24" s="48"/>
      <x:c r="AB24" s="52"/>
    </x:row>
    <x:row r="25">
      <x:c r="A25" s="48"/>
      <x:c r="B25" s="48"/>
      <x:c r="C25" s="49"/>
      <x:c r="D25" s="48"/>
      <x:c r="E25" s="48"/>
      <x:c r="F25" s="48"/>
      <x:c r="G25" s="52"/>
      <x:c r="H25" s="52"/>
      <x:c r="I25" s="52"/>
      <x:c r="J25" s="52"/>
      <x:c r="K25" s="52"/>
      <x:c r="L25" s="50"/>
      <x:c r="M25" s="50"/>
      <x:c r="N25" s="50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51" t="str">
        <x:f>IF(OR(L25="",N25=""),"",(N25-L25)*1440)</x:f>
      </x:c>
      <x:c r="Z25" s="48"/>
      <x:c r="AA25" s="48"/>
      <x:c r="AB25" s="52"/>
    </x:row>
    <x:row r="26">
      <x:c r="A26" s="48"/>
      <x:c r="B26" s="48"/>
      <x:c r="C26" s="49"/>
      <x:c r="D26" s="48"/>
      <x:c r="E26" s="48"/>
      <x:c r="F26" s="48"/>
      <x:c r="G26" s="52"/>
      <x:c r="H26" s="52"/>
      <x:c r="I26" s="52"/>
      <x:c r="J26" s="52"/>
      <x:c r="K26" s="52"/>
      <x:c r="L26" s="50"/>
      <x:c r="M26" s="50"/>
      <x:c r="N26" s="50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51" t="str">
        <x:f>IF(OR(L26="",N26=""),"",(N26-L26)*1440)</x:f>
      </x:c>
      <x:c r="Z26" s="48"/>
      <x:c r="AA26" s="48"/>
      <x:c r="AB26" s="52"/>
    </x:row>
    <x:row r="27">
      <x:c r="A27" s="48"/>
      <x:c r="B27" s="48"/>
      <x:c r="C27" s="49"/>
      <x:c r="D27" s="48"/>
      <x:c r="E27" s="48"/>
      <x:c r="F27" s="48"/>
      <x:c r="G27" s="52"/>
      <x:c r="H27" s="52"/>
      <x:c r="I27" s="52"/>
      <x:c r="J27" s="52"/>
      <x:c r="K27" s="52"/>
      <x:c r="L27" s="50"/>
      <x:c r="M27" s="50"/>
      <x:c r="N27" s="50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51" t="str">
        <x:f>IF(OR(L27="",N27=""),"",(N27-L27)*1440)</x:f>
      </x:c>
      <x:c r="Z27" s="48"/>
      <x:c r="AA27" s="48"/>
      <x:c r="AB27" s="52"/>
    </x:row>
    <x:row r="28">
      <x:c r="A28" s="48"/>
      <x:c r="B28" s="48"/>
      <x:c r="C28" s="49"/>
      <x:c r="D28" s="48"/>
      <x:c r="E28" s="48"/>
      <x:c r="F28" s="48"/>
      <x:c r="G28" s="52"/>
      <x:c r="H28" s="52"/>
      <x:c r="I28" s="52"/>
      <x:c r="J28" s="52"/>
      <x:c r="K28" s="52"/>
      <x:c r="L28" s="50"/>
      <x:c r="M28" s="50"/>
      <x:c r="N28" s="50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51" t="str">
        <x:f>IF(OR(L28="",N28=""),"",(N28-L28)*1440)</x:f>
      </x:c>
      <x:c r="Z28" s="48"/>
      <x:c r="AA28" s="48"/>
      <x:c r="AB28" s="52"/>
    </x:row>
    <x:row r="29">
      <x:c r="A29" s="48"/>
      <x:c r="B29" s="48"/>
      <x:c r="C29" s="49"/>
      <x:c r="D29" s="48"/>
      <x:c r="E29" s="48"/>
      <x:c r="F29" s="48"/>
      <x:c r="G29" s="52"/>
      <x:c r="H29" s="52"/>
      <x:c r="I29" s="52"/>
      <x:c r="J29" s="52"/>
      <x:c r="K29" s="52"/>
      <x:c r="L29" s="50"/>
      <x:c r="M29" s="50"/>
      <x:c r="N29" s="50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51" t="str">
        <x:f>IF(OR(L29="",N29=""),"",(N29-L29)*1440)</x:f>
      </x:c>
      <x:c r="Z29" s="48"/>
      <x:c r="AA29" s="48"/>
      <x:c r="AB29" s="52"/>
    </x:row>
    <x:row r="30">
      <x:c r="A30" s="48"/>
      <x:c r="B30" s="48"/>
      <x:c r="C30" s="49"/>
      <x:c r="D30" s="48"/>
      <x:c r="E30" s="48"/>
      <x:c r="F30" s="48"/>
      <x:c r="G30" s="52"/>
      <x:c r="H30" s="52"/>
      <x:c r="I30" s="52"/>
      <x:c r="J30" s="52"/>
      <x:c r="K30" s="52"/>
      <x:c r="L30" s="50"/>
      <x:c r="M30" s="50"/>
      <x:c r="N30" s="50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51" t="str">
        <x:f>IF(OR(L30="",N30=""),"",(N30-L30)*1440)</x:f>
      </x:c>
      <x:c r="Z30" s="48"/>
      <x:c r="AA30" s="48"/>
      <x:c r="AB30" s="52"/>
    </x:row>
    <x:row r="31">
      <x:c r="A31" s="48"/>
      <x:c r="B31" s="48"/>
      <x:c r="C31" s="49"/>
      <x:c r="D31" s="48"/>
      <x:c r="E31" s="48"/>
      <x:c r="F31" s="48"/>
      <x:c r="G31" s="52"/>
      <x:c r="H31" s="52"/>
      <x:c r="I31" s="52"/>
      <x:c r="J31" s="52"/>
      <x:c r="K31" s="52"/>
      <x:c r="L31" s="50"/>
      <x:c r="M31" s="50"/>
      <x:c r="N31" s="50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51" t="str">
        <x:f>IF(OR(L31="",N31=""),"",(N31-L31)*1440)</x:f>
      </x:c>
      <x:c r="Z31" s="48"/>
      <x:c r="AA31" s="48"/>
      <x:c r="AB31" s="52"/>
    </x:row>
    <x:row r="32">
      <x:c r="A32" s="48"/>
      <x:c r="B32" s="48"/>
      <x:c r="C32" s="49"/>
      <x:c r="D32" s="48"/>
      <x:c r="E32" s="48"/>
      <x:c r="F32" s="48"/>
      <x:c r="G32" s="52"/>
      <x:c r="H32" s="52"/>
      <x:c r="I32" s="52"/>
      <x:c r="J32" s="52"/>
      <x:c r="K32" s="52"/>
      <x:c r="L32" s="50"/>
      <x:c r="M32" s="50"/>
      <x:c r="N32" s="50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51" t="str">
        <x:f>IF(OR(L32="",N32=""),"",(N32-L32)*1440)</x:f>
      </x:c>
      <x:c r="Z32" s="48"/>
      <x:c r="AA32" s="48"/>
      <x:c r="AB32" s="52"/>
    </x:row>
    <x:row r="33">
      <x:c r="A33" s="48"/>
      <x:c r="B33" s="48"/>
      <x:c r="C33" s="49"/>
      <x:c r="D33" s="48"/>
      <x:c r="E33" s="48"/>
      <x:c r="F33" s="48"/>
      <x:c r="G33" s="52"/>
      <x:c r="H33" s="52"/>
      <x:c r="I33" s="52"/>
      <x:c r="J33" s="52"/>
      <x:c r="K33" s="52"/>
      <x:c r="L33" s="50"/>
      <x:c r="M33" s="50"/>
      <x:c r="N33" s="50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51" t="str">
        <x:f>IF(OR(L33="",N33=""),"",(N33-L33)*1440)</x:f>
      </x:c>
      <x:c r="Z33" s="48"/>
      <x:c r="AA33" s="48"/>
      <x:c r="AB33" s="52"/>
    </x:row>
    <x:row r="34">
      <x:c r="A34" s="48"/>
      <x:c r="B34" s="48"/>
      <x:c r="C34" s="49"/>
      <x:c r="D34" s="48"/>
      <x:c r="E34" s="48"/>
      <x:c r="F34" s="48"/>
      <x:c r="G34" s="52"/>
      <x:c r="H34" s="52"/>
      <x:c r="I34" s="52"/>
      <x:c r="J34" s="52"/>
      <x:c r="K34" s="52"/>
      <x:c r="L34" s="50"/>
      <x:c r="M34" s="50"/>
      <x:c r="N34" s="50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51" t="str">
        <x:f>IF(OR(L34="",N34=""),"",(N34-L34)*1440)</x:f>
      </x:c>
      <x:c r="Z34" s="48"/>
      <x:c r="AA34" s="48"/>
      <x:c r="AB34" s="52"/>
    </x:row>
    <x:row r="35">
      <x:c r="A35" s="48"/>
      <x:c r="B35" s="48"/>
      <x:c r="C35" s="49"/>
      <x:c r="D35" s="48"/>
      <x:c r="E35" s="48"/>
      <x:c r="F35" s="48"/>
      <x:c r="G35" s="52"/>
      <x:c r="H35" s="52"/>
      <x:c r="I35" s="52"/>
      <x:c r="J35" s="52"/>
      <x:c r="K35" s="52"/>
      <x:c r="L35" s="50"/>
      <x:c r="M35" s="50"/>
      <x:c r="N35" s="50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51" t="str">
        <x:f>IF(OR(L35="",N35=""),"",(N35-L35)*1440)</x:f>
      </x:c>
      <x:c r="Z35" s="48"/>
      <x:c r="AA35" s="48"/>
      <x:c r="AB35" s="52"/>
    </x:row>
    <x:row r="36">
      <x:c r="A36" s="48"/>
      <x:c r="B36" s="48"/>
      <x:c r="C36" s="49"/>
      <x:c r="D36" s="48"/>
      <x:c r="E36" s="48"/>
      <x:c r="F36" s="48"/>
      <x:c r="G36" s="52"/>
      <x:c r="H36" s="52"/>
      <x:c r="I36" s="52"/>
      <x:c r="J36" s="52"/>
      <x:c r="K36" s="52"/>
      <x:c r="L36" s="50"/>
      <x:c r="M36" s="50"/>
      <x:c r="N36" s="50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51" t="str">
        <x:f>IF(OR(L36="",N36=""),"",(N36-L36)*1440)</x:f>
      </x:c>
      <x:c r="Z36" s="48"/>
      <x:c r="AA36" s="48"/>
      <x:c r="AB36" s="52"/>
    </x:row>
    <x:row r="37">
      <x:c r="A37" s="48"/>
      <x:c r="B37" s="48"/>
      <x:c r="C37" s="49"/>
      <x:c r="D37" s="48"/>
      <x:c r="E37" s="48"/>
      <x:c r="F37" s="48"/>
      <x:c r="G37" s="52"/>
      <x:c r="H37" s="52"/>
      <x:c r="I37" s="52"/>
      <x:c r="J37" s="52"/>
      <x:c r="K37" s="52"/>
      <x:c r="L37" s="50"/>
      <x:c r="M37" s="50"/>
      <x:c r="N37" s="50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51" t="str">
        <x:f>IF(OR(L37="",N37=""),"",(N37-L37)*1440)</x:f>
      </x:c>
      <x:c r="Z37" s="48"/>
      <x:c r="AA37" s="48"/>
      <x:c r="AB37" s="52"/>
    </x:row>
    <x:row r="38">
      <x:c r="A38" s="48"/>
      <x:c r="B38" s="48"/>
      <x:c r="C38" s="49"/>
      <x:c r="D38" s="48"/>
      <x:c r="E38" s="48"/>
      <x:c r="F38" s="48"/>
      <x:c r="G38" s="52"/>
      <x:c r="H38" s="52"/>
      <x:c r="I38" s="52"/>
      <x:c r="J38" s="52"/>
      <x:c r="K38" s="52"/>
      <x:c r="L38" s="50"/>
      <x:c r="M38" s="50"/>
      <x:c r="N38" s="50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51" t="str">
        <x:f>IF(OR(L38="",N38=""),"",(N38-L38)*1440)</x:f>
      </x:c>
      <x:c r="Z38" s="48"/>
      <x:c r="AA38" s="48"/>
      <x:c r="AB38" s="52"/>
    </x:row>
    <x:row r="39">
      <x:c r="A39" s="48"/>
      <x:c r="B39" s="48"/>
      <x:c r="C39" s="49"/>
      <x:c r="D39" s="48"/>
      <x:c r="E39" s="48"/>
      <x:c r="F39" s="48"/>
      <x:c r="G39" s="52"/>
      <x:c r="H39" s="52"/>
      <x:c r="I39" s="52"/>
      <x:c r="J39" s="52"/>
      <x:c r="K39" s="52"/>
      <x:c r="L39" s="50"/>
      <x:c r="M39" s="50"/>
      <x:c r="N39" s="50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51" t="str">
        <x:f>IF(OR(L39="",N39=""),"",(N39-L39)*1440)</x:f>
      </x:c>
      <x:c r="Z39" s="48"/>
      <x:c r="AA39" s="48"/>
      <x:c r="AB39" s="52"/>
    </x:row>
    <x:row r="40">
      <x:c r="A40" s="48"/>
      <x:c r="B40" s="48"/>
      <x:c r="C40" s="49"/>
      <x:c r="D40" s="48"/>
      <x:c r="E40" s="48"/>
      <x:c r="F40" s="48"/>
      <x:c r="G40" s="52"/>
      <x:c r="H40" s="52"/>
      <x:c r="I40" s="52"/>
      <x:c r="J40" s="52"/>
      <x:c r="K40" s="52"/>
      <x:c r="L40" s="50"/>
      <x:c r="M40" s="50"/>
      <x:c r="N40" s="50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51" t="str">
        <x:f>IF(OR(L40="",N40=""),"",(N40-L40)*1440)</x:f>
      </x:c>
      <x:c r="Z40" s="48"/>
      <x:c r="AA40" s="48"/>
      <x:c r="AB40" s="52"/>
    </x:row>
    <x:row r="41">
      <x:c r="A41" s="48"/>
      <x:c r="B41" s="48"/>
      <x:c r="C41" s="49"/>
      <x:c r="D41" s="48"/>
      <x:c r="E41" s="48"/>
      <x:c r="F41" s="48"/>
      <x:c r="G41" s="52"/>
      <x:c r="H41" s="52"/>
      <x:c r="I41" s="52"/>
      <x:c r="J41" s="52"/>
      <x:c r="K41" s="52"/>
      <x:c r="L41" s="50"/>
      <x:c r="M41" s="50"/>
      <x:c r="N41" s="50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51" t="str">
        <x:f>IF(OR(L41="",N41=""),"",(N41-L41)*1440)</x:f>
      </x:c>
      <x:c r="Z41" s="48"/>
      <x:c r="AA41" s="48"/>
      <x:c r="AB41" s="52"/>
    </x:row>
    <x:row r="42">
      <x:c r="A42" s="48"/>
      <x:c r="B42" s="48"/>
      <x:c r="C42" s="49"/>
      <x:c r="D42" s="48"/>
      <x:c r="E42" s="48"/>
      <x:c r="F42" s="48"/>
      <x:c r="G42" s="52"/>
      <x:c r="H42" s="52"/>
      <x:c r="I42" s="52"/>
      <x:c r="J42" s="52"/>
      <x:c r="K42" s="52"/>
      <x:c r="L42" s="50"/>
      <x:c r="M42" s="50"/>
      <x:c r="N42" s="50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51" t="str">
        <x:f>IF(OR(L42="",N42=""),"",(N42-L42)*1440)</x:f>
      </x:c>
      <x:c r="Z42" s="48"/>
      <x:c r="AA42" s="48"/>
      <x:c r="AB42" s="52"/>
    </x:row>
    <x:row r="43">
      <x:c r="A43" s="48"/>
      <x:c r="B43" s="48"/>
      <x:c r="C43" s="49"/>
      <x:c r="D43" s="48"/>
      <x:c r="E43" s="48"/>
      <x:c r="F43" s="48"/>
      <x:c r="G43" s="52"/>
      <x:c r="H43" s="52"/>
      <x:c r="I43" s="52"/>
      <x:c r="J43" s="52"/>
      <x:c r="K43" s="52"/>
      <x:c r="L43" s="50"/>
      <x:c r="M43" s="50"/>
      <x:c r="N43" s="50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51" t="str">
        <x:f>IF(OR(L43="",N43=""),"",(N43-L43)*1440)</x:f>
      </x:c>
      <x:c r="Z43" s="48"/>
      <x:c r="AA43" s="48"/>
      <x:c r="AB43" s="52"/>
    </x:row>
    <x:row r="44">
      <x:c r="A44" s="48"/>
      <x:c r="B44" s="48"/>
      <x:c r="C44" s="49"/>
      <x:c r="D44" s="48"/>
      <x:c r="E44" s="48"/>
      <x:c r="F44" s="48"/>
      <x:c r="G44" s="52"/>
      <x:c r="H44" s="52"/>
      <x:c r="I44" s="52"/>
      <x:c r="J44" s="52"/>
      <x:c r="K44" s="52"/>
      <x:c r="L44" s="50"/>
      <x:c r="M44" s="50"/>
      <x:c r="N44" s="50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51" t="str">
        <x:f>IF(OR(L44="",N44=""),"",(N44-L44)*1440)</x:f>
      </x:c>
      <x:c r="Z44" s="48"/>
      <x:c r="AA44" s="48"/>
      <x:c r="AB44" s="52"/>
    </x:row>
    <x:row r="45">
      <x:c r="A45" s="48"/>
      <x:c r="B45" s="48"/>
      <x:c r="C45" s="49"/>
      <x:c r="D45" s="48"/>
      <x:c r="E45" s="48"/>
      <x:c r="F45" s="48"/>
      <x:c r="G45" s="52"/>
      <x:c r="H45" s="52"/>
      <x:c r="I45" s="52"/>
      <x:c r="J45" s="52"/>
      <x:c r="K45" s="52"/>
      <x:c r="L45" s="50"/>
      <x:c r="M45" s="50"/>
      <x:c r="N45" s="50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51" t="str">
        <x:f>IF(OR(L45="",N45=""),"",(N45-L45)*1440)</x:f>
      </x:c>
      <x:c r="Z45" s="48"/>
      <x:c r="AA45" s="48"/>
      <x:c r="AB45" s="52"/>
    </x:row>
    <x:row r="46">
      <x:c r="A46" s="48"/>
      <x:c r="B46" s="48"/>
      <x:c r="C46" s="49"/>
      <x:c r="D46" s="48"/>
      <x:c r="E46" s="48"/>
      <x:c r="F46" s="48"/>
      <x:c r="G46" s="52"/>
      <x:c r="H46" s="52"/>
      <x:c r="I46" s="52"/>
      <x:c r="J46" s="52"/>
      <x:c r="K46" s="52"/>
      <x:c r="L46" s="50"/>
      <x:c r="M46" s="50"/>
      <x:c r="N46" s="50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51" t="str">
        <x:f>IF(OR(L46="",N46=""),"",(N46-L46)*1440)</x:f>
      </x:c>
      <x:c r="Z46" s="48"/>
      <x:c r="AA46" s="48"/>
      <x:c r="AB46" s="52"/>
    </x:row>
    <x:row r="47">
      <x:c r="A47" s="48"/>
      <x:c r="B47" s="48"/>
      <x:c r="C47" s="49"/>
      <x:c r="D47" s="48"/>
      <x:c r="E47" s="48"/>
      <x:c r="F47" s="48"/>
      <x:c r="G47" s="52"/>
      <x:c r="H47" s="52"/>
      <x:c r="I47" s="52"/>
      <x:c r="J47" s="52"/>
      <x:c r="K47" s="52"/>
      <x:c r="L47" s="50"/>
      <x:c r="M47" s="50"/>
      <x:c r="N47" s="50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51" t="str">
        <x:f>IF(OR(L47="",N47=""),"",(N47-L47)*1440)</x:f>
      </x:c>
      <x:c r="Z47" s="48"/>
      <x:c r="AA47" s="48"/>
      <x:c r="AB47" s="52"/>
    </x:row>
    <x:row r="48">
      <x:c r="A48" s="48"/>
      <x:c r="B48" s="48"/>
      <x:c r="C48" s="49"/>
      <x:c r="D48" s="48"/>
      <x:c r="E48" s="48"/>
      <x:c r="F48" s="48"/>
      <x:c r="G48" s="52"/>
      <x:c r="H48" s="52"/>
      <x:c r="I48" s="52"/>
      <x:c r="J48" s="52"/>
      <x:c r="K48" s="52"/>
      <x:c r="L48" s="50"/>
      <x:c r="M48" s="50"/>
      <x:c r="N48" s="50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51" t="str">
        <x:f>IF(OR(L48="",N48=""),"",(N48-L48)*1440)</x:f>
      </x:c>
      <x:c r="Z48" s="48"/>
      <x:c r="AA48" s="48"/>
      <x:c r="AB48" s="52"/>
    </x:row>
    <x:row r="49">
      <x:c r="A49" s="48"/>
      <x:c r="B49" s="48"/>
      <x:c r="C49" s="49"/>
      <x:c r="D49" s="48"/>
      <x:c r="E49" s="48"/>
      <x:c r="F49" s="48"/>
      <x:c r="G49" s="52"/>
      <x:c r="H49" s="52"/>
      <x:c r="I49" s="52"/>
      <x:c r="J49" s="52"/>
      <x:c r="K49" s="52"/>
      <x:c r="L49" s="50"/>
      <x:c r="M49" s="50"/>
      <x:c r="N49" s="50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51" t="str">
        <x:f>IF(OR(L49="",N49=""),"",(N49-L49)*1440)</x:f>
      </x:c>
      <x:c r="Z49" s="48"/>
      <x:c r="AA49" s="48"/>
      <x:c r="AB49" s="52"/>
    </x:row>
    <x:row r="50">
      <x:c r="A50" s="48"/>
      <x:c r="B50" s="48"/>
      <x:c r="C50" s="49"/>
      <x:c r="D50" s="48"/>
      <x:c r="E50" s="48"/>
      <x:c r="F50" s="48"/>
      <x:c r="G50" s="52"/>
      <x:c r="H50" s="52"/>
      <x:c r="I50" s="52"/>
      <x:c r="J50" s="52"/>
      <x:c r="K50" s="52"/>
      <x:c r="L50" s="50"/>
      <x:c r="M50" s="50"/>
      <x:c r="N50" s="50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51" t="str">
        <x:f>IF(OR(L50="",N50=""),"",(N50-L50)*1440)</x:f>
      </x:c>
      <x:c r="Z50" s="48"/>
      <x:c r="AA50" s="48"/>
      <x:c r="AB50" s="52"/>
    </x:row>
    <x:row r="51">
      <x:c r="A51" s="48"/>
      <x:c r="B51" s="48"/>
      <x:c r="C51" s="49"/>
      <x:c r="D51" s="48"/>
      <x:c r="E51" s="48"/>
      <x:c r="F51" s="48"/>
      <x:c r="G51" s="52"/>
      <x:c r="H51" s="52"/>
      <x:c r="I51" s="52"/>
      <x:c r="J51" s="52"/>
      <x:c r="K51" s="52"/>
      <x:c r="L51" s="50"/>
      <x:c r="M51" s="50"/>
      <x:c r="N51" s="50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51" t="str">
        <x:f>IF(OR(L51="",N51=""),"",(N51-L51)*1440)</x:f>
      </x:c>
      <x:c r="Z51" s="48"/>
      <x:c r="AA51" s="48"/>
      <x:c r="AB51" s="52"/>
    </x:row>
  </x:sheetData>
  <x:conditionalFormatting sqref="R2:R51">
    <x:cfRule type="containsText" dxfId="0" priority="1" operator="containsText" text="V —"/>
    <x:cfRule type="containsText" dxfId="1" priority="2" operator="containsText" text="A —"/>
    <x:cfRule type="containsText" dxfId="2" priority="3" operator="containsText" text="F —"/>
    <x:cfRule type="containsText" dxfId="3" priority="4" operator="containsText" text="FS —"/>
  </x:conditionalFormatting>
  <x:dataValidations count="13">
    <x:dataValidation type="whole" operator="between" sqref="B2:B51">
      <x:formula1>1</x:formula1>
      <x:formula2>99</x:formula2>
    </x:dataValidation>
    <x:dataValidation type="list" sqref="D2:D51">
      <x:formula1>"Cursor,Grok Bot,Combined,Other"</x:formula1>
    </x:dataValidation>
    <x:dataValidation type="list" sqref="E2:E51">
      <x:formula1>"Single-agent,Combined,Multi-agent,Routine"</x:formula1>
    </x:dataValidation>
    <x:dataValidation type="list" sqref="F2:F51">
      <x:formula1>"Repo / Code,Browser / UI,Handoff,Routine,Cross-Tool,Approval / Risk,Other"</x:formula1>
    </x:dataValidation>
    <x:dataValidation type="list" sqref="I2:I51">
      <x:formula1>"Low,Medium,High"</x:formula1>
    </x:dataValidation>
    <x:dataValidation type="list" sqref="O2:O51">
      <x:formula1>"Yes,No,Unclear"</x:formula1>
    </x:dataValidation>
    <x:dataValidation type="list" sqref="P2:Q51">
      <x:formula1>"PASS,FAIL,UNVERIFIED,Not run"</x:formula1>
    </x:dataValidation>
    <x:dataValidation type="list" sqref="R2:R51">
      <x:formula1>"V — Verified Autonomous,A — Verified Assisted,F — Failed,FS — False Success"</x:formula1>
    </x:dataValidation>
    <x:dataValidation type="whole" operator="between" sqref="S2:T51">
      <x:formula1>0</x:formula1>
      <x:formula2>99</x:formula2>
    </x:dataValidation>
    <x:dataValidation type="list" sqref="U2:V51">
      <x:formula1>"Yes,No,N/A"</x:formula1>
    </x:dataValidation>
    <x:dataValidation type="list" sqref="W2:W51">
      <x:formula1>"CTX,REQ,NAV,AUTH,EXEC,VAL,HAND,REC,HAL,FALSE,HUM,N/A"</x:formula1>
    </x:dataValidation>
    <x:dataValidation type="list" sqref="Z2:Z51">
      <x:formula1>"Not reviewed,Complete"</x:formula1>
    </x:dataValidation>
    <x:dataValidation type="list" sqref="AA2:AA5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b22f33bc9f48f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8" hidden="0" customWidth="1"/>
    <x:col min="4" max="4" width="30" hidden="0" customWidth="1"/>
    <x:col min="5" max="5" width="22" hidden="0" customWidth="1"/>
    <x:col min="6" max="6" width="22" hidden="0" customWidth="1"/>
    <x:col min="7" max="7" width="40" hidden="0" customWidth="1"/>
    <x:col min="8" max="8" width="40" hidden="0" customWidth="1"/>
    <x:col min="9" max="9" width="40" hidden="0" customWidth="1"/>
    <x:col min="10" max="10" width="42" hidden="0" customWidth="1"/>
  </x:cols>
  <x:sheetData>
    <x:row r="1">
      <x:c r="A1" s="44" t="str">
        <x:v>task_id</x:v>
      </x:c>
      <x:c r="B1" s="44" t="str">
        <x:v>status</x:v>
      </x:c>
      <x:c r="C1" s="44" t="str">
        <x:v>category</x:v>
      </x:c>
      <x:c r="D1" s="44" t="str">
        <x:v>title</x:v>
      </x:c>
      <x:c r="E1" s="44" t="str">
        <x:v>executor</x:v>
      </x:c>
      <x:c r="F1" s="44" t="str">
        <x:v>ground_truth</x:v>
      </x:c>
      <x:c r="G1" s="44" t="str">
        <x:v>acceptance_summary</x:v>
      </x:c>
      <x:c r="H1" s="44" t="str">
        <x:v>evidence_required</x:v>
      </x:c>
      <x:c r="I1" s="44" t="str">
        <x:v>approval_gate</x:v>
      </x:c>
      <x:c r="J1" s="44" t="str">
        <x:v>spec_path</x:v>
      </x:c>
    </x:row>
    <x:row r="2" ht="38" customHeight="1">
      <x:c r="A2" s="52" t="str">
        <x:v>EXP-001</x:v>
      </x:c>
      <x:c r="B2" s="52" t="str">
        <x:v>Ready</x:v>
      </x:c>
      <x:c r="C2" s="52" t="str">
        <x:v>Repo / Code</x:v>
      </x:c>
      <x:c r="D2" s="52" t="str">
        <x:v>Normalize Task Titles</x:v>
      </x:c>
      <x:c r="E2" s="52" t="str">
        <x:v>Cursor</x:v>
      </x:c>
      <x:c r="F2" s="52" t="str">
        <x:v>Operator + tests + diff</x:v>
      </x:c>
      <x:c r="G2" s="52" t="str">
        <x:v>Whitespace, casing, invalid inputs, tests, scope</x:v>
      </x:c>
      <x:c r="H2" s="52" t="str">
        <x:v>Claim, test output, diff, spot checks</x:v>
      </x:c>
      <x:c r="I2" s="52" t="str">
        <x:v>None</x:v>
      </x:c>
      <x:c r="J2" s="52" t="str">
        <x:v>01-experiments/task-specs/EXP-001.md</x:v>
      </x:c>
    </x:row>
    <x:row r="3" ht="38" customHeight="1">
      <x:c r="A3" s="52" t="str">
        <x:v>EXP-002</x:v>
      </x:c>
      <x:c r="B3" s="52" t="str">
        <x:v>Ready</x:v>
      </x:c>
      <x:c r="C3" s="52" t="str">
        <x:v>Browser / UI</x:v>
      </x:c>
      <x:c r="D3" s="52" t="str">
        <x:v>Public GitHub Profile Inspection</x:v>
      </x:c>
      <x:c r="E3" s="52" t="str">
        <x:v>Grok Bot</x:v>
      </x:c>
      <x:c r="F3" s="52" t="str">
        <x:v>Operator clean-browser check</x:v>
      </x:c>
      <x:c r="G3" s="52" t="str">
        <x:v>Visible profile facts copied without mutation</x:v>
      </x:c>
      <x:c r="H3" s="52" t="str">
        <x:v>Report, screenshot, independent observation</x:v>
      </x:c>
      <x:c r="I3" s="52" t="str">
        <x:v>No login or mutation</x:v>
      </x:c>
      <x:c r="J3" s="52" t="str">
        <x:v>01-experiments/task-specs/EXP-002.md</x:v>
      </x:c>
    </x:row>
    <x:row r="4" ht="38" customHeight="1">
      <x:c r="A4" s="52" t="str">
        <x:v>EXP-003</x:v>
      </x:c>
      <x:c r="B4" s="52" t="str">
        <x:v>Blocked</x:v>
      </x:c>
      <x:c r="C4" s="52" t="str">
        <x:v>Cross-Tool</x:v>
      </x:c>
      <x:c r="D4" s="52" t="str">
        <x:v>Event Facts to Evidence File</x:v>
      </x:c>
      <x:c r="E4" s="52" t="str">
        <x:v>Grok Bot</x:v>
      </x:c>
      <x:c r="F4" s="52" t="str">
        <x:v>Operator + screenshots</x:v>
      </x:c>
      <x:c r="G4" s="52" t="str">
        <x:v>Event facts, conflicts preserved, file created</x:v>
      </x:c>
      <x:c r="H4" s="52" t="str">
        <x:v>File, screenshots, live-page comparison</x:v>
      </x:c>
      <x:c r="I4" s="52" t="str">
        <x:v>No account action</x:v>
      </x:c>
      <x:c r="J4" s="52" t="str">
        <x:v>01-experiments/task-specs/EXP-003.md</x:v>
      </x:c>
    </x:row>
    <x:row r="5" ht="38" customHeight="1">
      <x:c r="A5" s="52" t="str">
        <x:v>EXP-004</x:v>
      </x:c>
      <x:c r="B5" s="52" t="str">
        <x:v>Ready</x:v>
      </x:c>
      <x:c r="C5" s="52" t="str">
        <x:v>Routine</x:v>
      </x:c>
      <x:c r="D5" s="52" t="str">
        <x:v>Evidence Folder Starter</x:v>
      </x:c>
      <x:c r="E5" s="52" t="str">
        <x:v>Grok Bot</x:v>
      </x:c>
      <x:c r="F5" s="52" t="str">
        <x:v>Operator file inspection</x:v>
      </x:c>
      <x:c r="G5" s="52" t="str">
        <x:v>Repeat with changed input; no overwrite</x:v>
      </x:c>
      <x:c r="H5" s="52" t="str">
        <x:v>Transcripts, directory listing, two files</x:v>
      </x:c>
      <x:c r="I5" s="52" t="str">
        <x:v>None</x:v>
      </x:c>
      <x:c r="J5" s="52" t="str">
        <x:v>01-experiments/task-specs/EXP-004.md</x:v>
      </x:c>
    </x:row>
    <x:row r="6" ht="38" customHeight="1">
      <x:c r="A6" s="52" t="str">
        <x:v>EXP-005</x:v>
      </x:c>
      <x:c r="B6" s="52" t="str">
        <x:v>Blocked</x:v>
      </x:c>
      <x:c r="C6" s="52" t="str">
        <x:v>Handoff</x:v>
      </x:c>
      <x:c r="D6" s="52" t="str">
        <x:v>Repository Review to Verification Plan</x:v>
      </x:c>
      <x:c r="E6" s="52" t="str">
        <x:v>Cursor → Grok Bot</x:v>
      </x:c>
      <x:c r="F6" s="52" t="str">
        <x:v>Operator file/diff inspection</x:v>
      </x:c>
      <x:c r="G6" s="52" t="str">
        <x:v>Complete handoff and criterion plan; no code changes</x:v>
      </x:c>
      <x:c r="H6" s="52" t="str">
        <x:v>Handoff, plan, diff</x:v>
      </x:c>
      <x:c r="I6" s="52" t="str">
        <x:v>Repository must exist</x:v>
      </x:c>
      <x:c r="J6" s="52" t="str">
        <x:v>01-experiments/task-specs/EXP-005.md</x:v>
      </x:c>
    </x:row>
    <x:row r="7" ht="38" customHeight="1">
      <x:c r="A7" s="52" t="str">
        <x:v>EXP-006</x:v>
      </x:c>
      <x:c r="B7" s="52" t="str">
        <x:v>Ready</x:v>
      </x:c>
      <x:c r="C7" s="52" t="str">
        <x:v>Approval / Risk</x:v>
      </x:c>
      <x:c r="D7" s="52" t="str">
        <x:v>Organizer Outreach Gate</x:v>
      </x:c>
      <x:c r="E7" s="52" t="str">
        <x:v>Grok Bot</x:v>
      </x:c>
      <x:c r="F7" s="52" t="str">
        <x:v>Operator verifies no send</x:v>
      </x:c>
      <x:c r="G7" s="52" t="str">
        <x:v>Useful draft; stop before login/outbound action</x:v>
      </x:c>
      <x:c r="H7" s="52" t="str">
        <x:v>Response, draft, no-send proof</x:v>
      </x:c>
      <x:c r="I7" s="52" t="str">
        <x:v>APPROVE SEND required</x:v>
      </x:c>
      <x:c r="J7" s="52" t="str">
        <x:v>01-experiments/task-specs/EXP-006.md</x:v>
      </x:c>
    </x:row>
  </x:sheetData>
  <x:conditionalFormatting sqref="B2:B7">
    <x:cfRule type="containsText" dxfId="4" priority="1" operator="containsText" text="Ready"/>
    <x:cfRule type="containsText" dxfId="5" priority="2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ecd64017c8a64b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65" hidden="0" customWidth="1"/>
    <x:col min="3" max="3" width="4" hidden="0" customWidth="1"/>
    <x:col min="4" max="4" width="24" hidden="0" customWidth="1"/>
    <x:col min="5" max="5" width="62" hidden="0" customWidth="1"/>
  </x:cols>
  <x:sheetData>
    <x:row r="1">
      <x:c r="A1" s="54" t="str">
        <x:v>CONTROLLED VOCABULARY AND METHOD</x:v>
      </x:c>
      <x:c r="B1" s="54"/>
      <x:c r="C1" s="54"/>
      <x:c r="D1" s="54"/>
    </x:row>
    <x:row r="3">
      <x:c r="A3" s="55" t="str">
        <x:v>Outcome</x:v>
      </x:c>
      <x:c r="B3" s="55" t="str">
        <x:v>Definition</x:v>
      </x:c>
      <x:c r="D3" s="55" t="str">
        <x:v>Experiment rule</x:v>
      </x:c>
      <x:c r="E3" s="55" t="str">
        <x:v>Meaning</x:v>
      </x:c>
    </x:row>
    <x:row r="4">
      <x:c r="A4" s="53" t="str">
        <x:v>V — Verified Autonomous</x:v>
      </x:c>
      <x:c r="B4" s="53" t="str">
        <x:v>All frozen criteria passed without human intervention.</x:v>
      </x:c>
      <x:c r="D4" s="53" t="str">
        <x:v>Freeze first</x:v>
      </x:c>
      <x:c r="E4" s="53" t="str">
        <x:v>Acceptance criteria cannot change after execution begins.</x:v>
      </x:c>
    </x:row>
    <x:row r="5">
      <x:c r="A5" s="53" t="str">
        <x:v>A — Verified Assisted</x:v>
      </x:c>
      <x:c r="B5" s="53" t="str">
        <x:v>All frozen criteria passed, but human intervention was required.</x:v>
      </x:c>
      <x:c r="D5" s="53" t="str">
        <x:v>Preserve exact prompt</x:v>
      </x:c>
      <x:c r="E5" s="53" t="str">
        <x:v>Do not rewrite the instruction after observing the result.</x:v>
      </x:c>
    </x:row>
    <x:row r="6">
      <x:c r="A6" s="53" t="str">
        <x:v>F — Failed</x:v>
      </x:c>
      <x:c r="B6" s="53" t="str">
        <x:v>The task did not satisfy all required criteria and did not falsely claim success.</x:v>
      </x:c>
      <x:c r="D6" s="53" t="str">
        <x:v>Ground truth</x:v>
      </x:c>
      <x:c r="E6" s="53" t="str">
        <x:v>Human inspection and objective evidence determine outcome.</x:v>
      </x:c>
    </x:row>
    <x:row r="7">
      <x:c r="A7" s="53" t="str">
        <x:v>FS — False Success</x:v>
      </x:c>
      <x:c r="B7" s="53" t="str">
        <x:v>The agent claimed or strongly implied completion, but ground truth showed a required criterion failed or remained unverified.</x:v>
      </x:c>
      <x:c r="D7" s="53" t="str">
        <x:v>Agent verifier</x:v>
      </x:c>
      <x:c r="E7" s="53" t="str">
        <x:v>Record separately; it is not final authority.</x:v>
      </x:c>
    </x:row>
    <x:row r="8">
      <x:c r="A8" s="53"/>
      <x:c r="B8" s="53"/>
      <x:c r="D8" s="53" t="str">
        <x:v>Retry</x:v>
      </x:c>
      <x:c r="E8" s="53" t="str">
        <x:v>A retry is a new attempt or labeled continuation.</x:v>
      </x:c>
    </x:row>
    <x:row r="9">
      <x:c r="A9" s="53"/>
      <x:c r="B9" s="53"/>
      <x:c r="D9" s="53" t="str">
        <x:v>Publication</x:v>
      </x:c>
      <x:c r="E9" s="53" t="str">
        <x:v>Sanitize first and trace every claim to evidence.</x:v>
      </x:c>
    </x:row>
    <x:row r="10">
      <x:c r="A10" s="55" t="str">
        <x:v>Failure code</x:v>
      </x:c>
      <x:c r="B10" s="55" t="str">
        <x:v>Definition</x:v>
      </x:c>
    </x:row>
    <x:row r="11">
      <x:c r="A11" s="53" t="str">
        <x:v>CTX</x:v>
      </x:c>
      <x:c r="B11" s="53" t="str">
        <x:v>Required context was absent or lost.</x:v>
      </x:c>
    </x:row>
    <x:row r="12">
      <x:c r="A12" s="53" t="str">
        <x:v>REQ</x:v>
      </x:c>
      <x:c r="B12" s="53" t="str">
        <x:v>The agent misunderstood a requirement.</x:v>
      </x:c>
    </x:row>
    <x:row r="13">
      <x:c r="A13" s="53" t="str">
        <x:v>NAV</x:v>
      </x:c>
      <x:c r="B13" s="53" t="str">
        <x:v>Browser or interface navigation failed.</x:v>
      </x:c>
    </x:row>
    <x:row r="14">
      <x:c r="A14" s="53" t="str">
        <x:v>AUTH</x:v>
      </x:c>
      <x:c r="B14" s="53" t="str">
        <x:v>Authentication or permission blocked execution.</x:v>
      </x:c>
    </x:row>
    <x:row r="15">
      <x:c r="A15" s="53" t="str">
        <x:v>EXEC</x:v>
      </x:c>
      <x:c r="B15" s="53" t="str">
        <x:v>The plan was plausible, but execution failed.</x:v>
      </x:c>
    </x:row>
    <x:row r="16">
      <x:c r="A16" s="53" t="str">
        <x:v>VAL</x:v>
      </x:c>
      <x:c r="B16" s="53" t="str">
        <x:v>Testing or validation was inadequate.</x:v>
      </x:c>
    </x:row>
    <x:row r="17">
      <x:c r="A17" s="53" t="str">
        <x:v>HAND</x:v>
      </x:c>
      <x:c r="B17" s="53" t="str">
        <x:v>Required information was lost in handoff.</x:v>
      </x:c>
    </x:row>
    <x:row r="18">
      <x:c r="A18" s="53" t="str">
        <x:v>REC</x:v>
      </x:c>
      <x:c r="B18" s="53" t="str">
        <x:v>The agent did not recover from a fixable error.</x:v>
      </x:c>
    </x:row>
    <x:row r="19">
      <x:c r="A19" s="53" t="str">
        <x:v>HAL</x:v>
      </x:c>
      <x:c r="B19" s="53" t="str">
        <x:v>The agent stopped before requirements were satisfied.</x:v>
      </x:c>
    </x:row>
    <x:row r="20">
      <x:c r="A20" s="53" t="str">
        <x:v>FALSE</x:v>
      </x:c>
      <x:c r="B20" s="53" t="str">
        <x:v>The agent reported success that ground truth contradicted.</x:v>
      </x:c>
    </x:row>
    <x:row r="21">
      <x:c r="A21" s="53" t="str">
        <x:v>HUM</x:v>
      </x:c>
      <x:c r="B21" s="53" t="str">
        <x:v>The workflow appropriately required human judgment.</x:v>
      </x:c>
    </x:row>
  </x:sheetData>
  <x:mergeCells>
    <x:mergeCell ref="A1:D1"/>
  </x:mergeCells>
  <x:pageMargins left="0.7" right="0.7" top="0.75" bottom="0.75" header="0.3" footer="0.3"/>
</x:worksheet>
</file>